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th\OneDrive\Desktop\OPT\Qualified Health\Regal Project\Resume - GTM Engineer\GC AI - GTM Engineer\Growth Engineer - Healthcare\Orthogonal\JobNimbus\Lucid\Legion Health\"/>
    </mc:Choice>
  </mc:AlternateContent>
  <xr:revisionPtr revIDLastSave="0" documentId="13_ncr:1_{93FD49A3-E796-4D00-B934-EEAFBEA1FC26}" xr6:coauthVersionLast="47" xr6:coauthVersionMax="47" xr10:uidLastSave="{00000000-0000-0000-0000-000000000000}"/>
  <bookViews>
    <workbookView xWindow="-110" yWindow="-110" windowWidth="19420" windowHeight="11500" activeTab="2" xr2:uid="{0CBFA8FA-7511-4BEF-B2EA-7B545DBB2199}"/>
  </bookViews>
  <sheets>
    <sheet name="Inputs" sheetId="1" r:id="rId1"/>
    <sheet name="Funnel Model" sheetId="2" r:id="rId2"/>
    <sheet name="Scenario Output" sheetId="3" r:id="rId3"/>
    <sheet name="Assumptions No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2" l="1"/>
  <c r="C6" i="2"/>
  <c r="B3" i="3" s="1"/>
  <c r="D3" i="3" s="1"/>
  <c r="E3" i="3" s="1"/>
  <c r="B6" i="2"/>
  <c r="C5" i="2"/>
  <c r="B5" i="2"/>
  <c r="C4" i="2"/>
  <c r="B4" i="2"/>
  <c r="C3" i="2"/>
  <c r="B3" i="2"/>
  <c r="C2" i="2"/>
  <c r="B2" i="3" l="1"/>
  <c r="D2" i="3" s="1"/>
  <c r="E2" i="3" s="1"/>
  <c r="B4" i="3"/>
  <c r="D4" i="3" s="1"/>
  <c r="E4" i="3" s="1"/>
  <c r="B5" i="3"/>
  <c r="D5" i="3" s="1"/>
  <c r="E5" i="3" s="1"/>
  <c r="F3" i="3"/>
  <c r="G3" i="3"/>
  <c r="F2" i="3"/>
  <c r="G2" i="3"/>
  <c r="F4" i="3"/>
  <c r="G4" i="3"/>
  <c r="G5" i="3"/>
  <c r="F5" i="3"/>
  <c r="H5" i="3" s="1"/>
  <c r="I5" i="3" s="1"/>
  <c r="C7" i="2"/>
  <c r="H2" i="3" l="1"/>
  <c r="I2" i="3" s="1"/>
  <c r="H3" i="3"/>
  <c r="I3" i="3" s="1"/>
  <c r="H4" i="3"/>
  <c r="I4" i="3" s="1"/>
</calcChain>
</file>

<file path=xl/sharedStrings.xml><?xml version="1.0" encoding="utf-8"?>
<sst xmlns="http://schemas.openxmlformats.org/spreadsheetml/2006/main" count="75" uniqueCount="72">
  <si>
    <t>Input</t>
  </si>
  <si>
    <t>Value</t>
  </si>
  <si>
    <t>Notes</t>
  </si>
  <si>
    <t>Monthly intake starts</t>
  </si>
  <si>
    <t>Sample assumption, not Legion actual data</t>
  </si>
  <si>
    <t>Provider match reached rate</t>
  </si>
  <si>
    <t>Assumed percent of intake starters who reach provider cards</t>
  </si>
  <si>
    <t>Slot selected rate</t>
  </si>
  <si>
    <t>Assumed percent of intake starters who select a slot</t>
  </si>
  <si>
    <t>First visit booked rate</t>
  </si>
  <si>
    <t>Assumed percent of intake starters who book first visit</t>
  </si>
  <si>
    <t>First visit completed rate</t>
  </si>
  <si>
    <t>Assumed percent of intake starters who complete first visit</t>
  </si>
  <si>
    <t>Follow-up retained rate</t>
  </si>
  <si>
    <t>Assumed percent of completed first visits that continue to follow-up</t>
  </si>
  <si>
    <t>Average first visit revenue</t>
  </si>
  <si>
    <t>Sample revenue assumption</t>
  </si>
  <si>
    <t>Average follow-up visit revenue</t>
  </si>
  <si>
    <t>Funnel Stage</t>
  </si>
  <si>
    <t>Rate</t>
  </si>
  <si>
    <t>Count</t>
  </si>
  <si>
    <t>Formula Notes</t>
  </si>
  <si>
    <t>Starting volume</t>
  </si>
  <si>
    <t>Provider match reached</t>
  </si>
  <si>
    <t>Intake starts × provider match reached rate</t>
  </si>
  <si>
    <t>Slot selected</t>
  </si>
  <si>
    <t>Intake starts × slot selected rate</t>
  </si>
  <si>
    <t>First visit booked</t>
  </si>
  <si>
    <t>Intake starts × first visit booked rate</t>
  </si>
  <si>
    <t>First visit completed</t>
  </si>
  <si>
    <t>Intake starts × first visit completed rate</t>
  </si>
  <si>
    <t>Follow-up retained</t>
  </si>
  <si>
    <t>Completed first visits × follow-up retained rate</t>
  </si>
  <si>
    <t>Scenario</t>
  </si>
  <si>
    <t>Completed First Visits</t>
  </si>
  <si>
    <t>Improvement %</t>
  </si>
  <si>
    <t>Improved Completed Visits</t>
  </si>
  <si>
    <t>Extra Completed Visits</t>
  </si>
  <si>
    <t>First Visit Revenue Lift</t>
  </si>
  <si>
    <t>Follow-up Revenue Lift</t>
  </si>
  <si>
    <t>Total Monthly Revenue Lift</t>
  </si>
  <si>
    <t>Annualized Revenue Lift</t>
  </si>
  <si>
    <t>Current</t>
  </si>
  <si>
    <t>Conservative</t>
  </si>
  <si>
    <t>Base</t>
  </si>
  <si>
    <t>Optimistic</t>
  </si>
  <si>
    <t>Section</t>
  </si>
  <si>
    <t>Model purpose</t>
  </si>
  <si>
    <t>This model estimates how improving intake-to-first-visit activation could increase completed first visits and estimated revenue.</t>
  </si>
  <si>
    <t>Data limitation</t>
  </si>
  <si>
    <t>These are scenario assumptions, not Legion Health internal data.</t>
  </si>
  <si>
    <t>Baseline funnel</t>
  </si>
  <si>
    <t>Scenario improvement rates</t>
  </si>
  <si>
    <t>Benchmark support</t>
  </si>
  <si>
    <t>The baseline funnel uses sample assumptions: 1,000 monthly intake starts, 70% provider match reached, 55% slot selected, 45% first visit booked, and 36% first visit</t>
  </si>
  <si>
    <t>Conservative, base, and optimistic scenarios use 5%, 10%, and 15% improvement in completed first visits.</t>
  </si>
  <si>
    <t>External benchmarks show that digital intake completion, psychiatry no-shows, wait times, and cost uncertainty can affect appointment completion.</t>
  </si>
  <si>
    <t>Revenue assumption</t>
  </si>
  <si>
    <t>Average first visit revenue is assumed at $200 and average follow-up revenue is assumed at $120.</t>
  </si>
  <si>
    <t>Follow-up assumption</t>
  </si>
  <si>
    <t>Follow-up retained rate is assumed at 60% of completed first visits.</t>
  </si>
  <si>
    <t>Interpretation</t>
  </si>
  <si>
    <t>This model should be read as sensitivity analysis, not a real revenue forecast.</t>
  </si>
  <si>
    <t>How to improve accuracy</t>
  </si>
  <si>
    <t>Replace sample assumptions with Legion internal data: actual intake starts, match rate, slot-selection rate, booked-first-visit rate, completed-first-visit rate, no-show rate, and average revenue per visit.</t>
  </si>
  <si>
    <t>Model Interpretation</t>
  </si>
  <si>
    <t>This is a scenario model, not Legion Health actual performance.</t>
  </si>
  <si>
    <t>The model estimates how small improvements in intake-to-first-visit activation could increase completed first visits.</t>
  </si>
  <si>
    <t>In the base case, a 10% improvement creates 36 additional completed first visits per month.</t>
  </si>
  <si>
    <t>Using sample revenue assumptions, that equals about $9,792 in monthly revenue lift.</t>
  </si>
  <si>
    <t>Annualized, the base case equals about $117,504.</t>
  </si>
  <si>
    <t>These numbers should be replaced with Legion internal data if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</si>
</sst>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&quot;$&quot;#,##0"/>
  </numFmts>
  <fonts count="2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9" fontId="0" fillId="0" borderId="0" xfId="0" applyNumberFormat="1"/>
    <xf numFmtId="10" fontId="0" fillId="0" borderId="0" xfId="0" applyNumberFormat="1"/>
    <xf numFmtId="174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CF926-0512-4555-8CF0-5832A741966C}">
  <dimension ref="A1:K14"/>
  <sheetViews>
    <sheetView workbookViewId="0">
      <selection activeCell="B3" sqref="B3"/>
    </sheetView>
  </sheetViews>
  <sheetFormatPr defaultRowHeight="14.5" x14ac:dyDescent="0.35"/>
  <cols>
    <col min="1" max="1" width="25.81640625" bestFit="1" customWidth="1"/>
    <col min="2" max="2" width="5.36328125" bestFit="1" customWidth="1"/>
    <col min="3" max="3" width="55.7265625" bestFit="1" customWidth="1"/>
  </cols>
  <sheetData>
    <row r="1" spans="1:11" s="5" customFormat="1" x14ac:dyDescent="0.35">
      <c r="A1" s="5" t="s">
        <v>0</v>
      </c>
      <c r="B1" s="5" t="s">
        <v>1</v>
      </c>
      <c r="C1" s="5" t="s">
        <v>2</v>
      </c>
    </row>
    <row r="2" spans="1:11" x14ac:dyDescent="0.35">
      <c r="A2" t="s">
        <v>3</v>
      </c>
      <c r="B2">
        <v>1000</v>
      </c>
      <c r="C2" t="s">
        <v>4</v>
      </c>
    </row>
    <row r="3" spans="1:11" x14ac:dyDescent="0.35">
      <c r="A3" t="s">
        <v>5</v>
      </c>
      <c r="B3" s="1">
        <v>0.7</v>
      </c>
      <c r="C3" t="s">
        <v>6</v>
      </c>
    </row>
    <row r="4" spans="1:11" x14ac:dyDescent="0.35">
      <c r="A4" t="s">
        <v>7</v>
      </c>
      <c r="B4" s="1">
        <v>0.55000000000000004</v>
      </c>
      <c r="C4" t="s">
        <v>8</v>
      </c>
    </row>
    <row r="5" spans="1:11" x14ac:dyDescent="0.35">
      <c r="A5" t="s">
        <v>9</v>
      </c>
      <c r="B5" s="1">
        <v>0.45</v>
      </c>
      <c r="C5" t="s">
        <v>10</v>
      </c>
    </row>
    <row r="6" spans="1:11" x14ac:dyDescent="0.35">
      <c r="A6" t="s">
        <v>11</v>
      </c>
      <c r="B6" s="1">
        <v>0.36</v>
      </c>
      <c r="C6" t="s">
        <v>12</v>
      </c>
    </row>
    <row r="7" spans="1:11" x14ac:dyDescent="0.35">
      <c r="A7" t="s">
        <v>13</v>
      </c>
      <c r="B7" s="1">
        <v>0.6</v>
      </c>
      <c r="C7" t="s">
        <v>14</v>
      </c>
    </row>
    <row r="8" spans="1:11" x14ac:dyDescent="0.35">
      <c r="A8" t="s">
        <v>15</v>
      </c>
      <c r="B8" s="3">
        <v>200</v>
      </c>
      <c r="C8" t="s">
        <v>16</v>
      </c>
    </row>
    <row r="9" spans="1:11" x14ac:dyDescent="0.35">
      <c r="A9" t="s">
        <v>17</v>
      </c>
      <c r="B9" s="3">
        <v>120</v>
      </c>
      <c r="C9" t="s">
        <v>16</v>
      </c>
    </row>
    <row r="14" spans="1:11" x14ac:dyDescent="0.35">
      <c r="K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FE7F-CD27-4348-9205-A65276C0B344}">
  <dimension ref="A1:D7"/>
  <sheetViews>
    <sheetView workbookViewId="0">
      <selection sqref="A1:XFD1"/>
    </sheetView>
  </sheetViews>
  <sheetFormatPr defaultRowHeight="14.5" x14ac:dyDescent="0.35"/>
  <cols>
    <col min="1" max="1" width="20.1796875" bestFit="1" customWidth="1"/>
    <col min="2" max="2" width="5.36328125" bestFit="1" customWidth="1"/>
    <col min="3" max="3" width="5.7265625" bestFit="1" customWidth="1"/>
    <col min="4" max="4" width="38.26953125" bestFit="1" customWidth="1"/>
  </cols>
  <sheetData>
    <row r="1" spans="1:4" s="5" customFormat="1" x14ac:dyDescent="0.35">
      <c r="A1" s="5" t="s">
        <v>18</v>
      </c>
      <c r="B1" s="5" t="s">
        <v>19</v>
      </c>
      <c r="C1" s="5" t="s">
        <v>20</v>
      </c>
      <c r="D1" s="5" t="s">
        <v>21</v>
      </c>
    </row>
    <row r="2" spans="1:4" x14ac:dyDescent="0.35">
      <c r="A2" t="s">
        <v>3</v>
      </c>
      <c r="B2" s="1">
        <v>1</v>
      </c>
      <c r="C2" s="4">
        <f>Inputs!B2</f>
        <v>1000</v>
      </c>
      <c r="D2" t="s">
        <v>22</v>
      </c>
    </row>
    <row r="3" spans="1:4" x14ac:dyDescent="0.35">
      <c r="A3" t="s">
        <v>23</v>
      </c>
      <c r="B3" s="1">
        <f>Inputs!B3</f>
        <v>0.7</v>
      </c>
      <c r="C3" s="4">
        <f>Inputs!B2*B3</f>
        <v>700</v>
      </c>
      <c r="D3" t="s">
        <v>24</v>
      </c>
    </row>
    <row r="4" spans="1:4" x14ac:dyDescent="0.35">
      <c r="A4" t="s">
        <v>25</v>
      </c>
      <c r="B4" s="1">
        <f>Inputs!B4</f>
        <v>0.55000000000000004</v>
      </c>
      <c r="C4" s="4">
        <f>Inputs!B2*B4</f>
        <v>550</v>
      </c>
      <c r="D4" t="s">
        <v>26</v>
      </c>
    </row>
    <row r="5" spans="1:4" x14ac:dyDescent="0.35">
      <c r="A5" t="s">
        <v>27</v>
      </c>
      <c r="B5" s="1">
        <f>Inputs!B5</f>
        <v>0.45</v>
      </c>
      <c r="C5" s="4">
        <f>Inputs!B2*B5</f>
        <v>450</v>
      </c>
      <c r="D5" t="s">
        <v>28</v>
      </c>
    </row>
    <row r="6" spans="1:4" x14ac:dyDescent="0.35">
      <c r="A6" t="s">
        <v>29</v>
      </c>
      <c r="B6" s="1">
        <f>Inputs!B6</f>
        <v>0.36</v>
      </c>
      <c r="C6" s="4">
        <f>Inputs!B2*B6</f>
        <v>360</v>
      </c>
      <c r="D6" t="s">
        <v>30</v>
      </c>
    </row>
    <row r="7" spans="1:4" x14ac:dyDescent="0.35">
      <c r="A7" t="s">
        <v>31</v>
      </c>
      <c r="B7" s="1">
        <f>Inputs!B7</f>
        <v>0.6</v>
      </c>
      <c r="C7" s="4">
        <f>C6*B7</f>
        <v>216</v>
      </c>
      <c r="D7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AE025-FB7C-40B0-88F9-5A08024675F9}">
  <dimension ref="A1:K7"/>
  <sheetViews>
    <sheetView tabSelected="1" topLeftCell="F1" workbookViewId="0">
      <selection activeCell="K14" sqref="K14"/>
    </sheetView>
  </sheetViews>
  <sheetFormatPr defaultRowHeight="14.5" x14ac:dyDescent="0.35"/>
  <cols>
    <col min="1" max="1" width="11.36328125" bestFit="1" customWidth="1"/>
    <col min="2" max="2" width="18.7265625" bestFit="1" customWidth="1"/>
    <col min="3" max="3" width="13.453125" bestFit="1" customWidth="1"/>
    <col min="4" max="4" width="22.6328125" bestFit="1" customWidth="1"/>
    <col min="5" max="5" width="19.1796875" bestFit="1" customWidth="1"/>
    <col min="6" max="6" width="18.7265625" bestFit="1" customWidth="1"/>
    <col min="7" max="7" width="19" bestFit="1" customWidth="1"/>
    <col min="8" max="8" width="22" bestFit="1" customWidth="1"/>
    <col min="9" max="9" width="20" bestFit="1" customWidth="1"/>
    <col min="11" max="11" width="95.08984375" bestFit="1" customWidth="1"/>
  </cols>
  <sheetData>
    <row r="1" spans="1:11" s="5" customFormat="1" x14ac:dyDescent="0.35">
      <c r="A1" s="5" t="s">
        <v>33</v>
      </c>
      <c r="B1" s="5" t="s">
        <v>34</v>
      </c>
      <c r="C1" s="5" t="s">
        <v>35</v>
      </c>
      <c r="D1" s="5" t="s">
        <v>36</v>
      </c>
      <c r="E1" s="5" t="s">
        <v>37</v>
      </c>
      <c r="F1" s="5" t="s">
        <v>38</v>
      </c>
      <c r="G1" s="5" t="s">
        <v>39</v>
      </c>
      <c r="H1" s="5" t="s">
        <v>40</v>
      </c>
      <c r="I1" s="5" t="s">
        <v>41</v>
      </c>
      <c r="K1" s="5" t="s">
        <v>65</v>
      </c>
    </row>
    <row r="2" spans="1:11" x14ac:dyDescent="0.35">
      <c r="A2" t="s">
        <v>42</v>
      </c>
      <c r="B2" s="4">
        <f>'Funnel Model'!C6</f>
        <v>360</v>
      </c>
      <c r="C2" s="1">
        <v>0</v>
      </c>
      <c r="D2">
        <f>B2*(1+C2)</f>
        <v>360</v>
      </c>
      <c r="E2" s="4">
        <f>D2-B2</f>
        <v>0</v>
      </c>
      <c r="F2">
        <f>E2*Inputs!B8</f>
        <v>0</v>
      </c>
      <c r="G2">
        <f>E2*Inputs!B7*Inputs!B9</f>
        <v>0</v>
      </c>
      <c r="H2">
        <f>F2+G2</f>
        <v>0</v>
      </c>
      <c r="I2">
        <f>H2*12</f>
        <v>0</v>
      </c>
      <c r="K2" t="s">
        <v>66</v>
      </c>
    </row>
    <row r="3" spans="1:11" x14ac:dyDescent="0.35">
      <c r="A3" t="s">
        <v>43</v>
      </c>
      <c r="B3" s="4">
        <f>'Funnel Model'!C6</f>
        <v>360</v>
      </c>
      <c r="C3" s="1">
        <v>0.05</v>
      </c>
      <c r="D3">
        <f>B3*(1+C3)</f>
        <v>378</v>
      </c>
      <c r="E3" s="4">
        <f>D3-B3</f>
        <v>18</v>
      </c>
      <c r="F3" s="3">
        <f>E3*Inputs!B8</f>
        <v>3600</v>
      </c>
      <c r="G3" s="3">
        <f>E3*Inputs!B7*Inputs!B9</f>
        <v>1295.9999999999998</v>
      </c>
      <c r="H3" s="3">
        <f>F3+G3</f>
        <v>4896</v>
      </c>
      <c r="I3" s="3">
        <f>H3*12</f>
        <v>58752</v>
      </c>
      <c r="K3" t="s">
        <v>67</v>
      </c>
    </row>
    <row r="4" spans="1:11" x14ac:dyDescent="0.35">
      <c r="A4" t="s">
        <v>44</v>
      </c>
      <c r="B4" s="4">
        <f>'Funnel Model'!C6</f>
        <v>360</v>
      </c>
      <c r="C4" s="1">
        <v>0.1</v>
      </c>
      <c r="D4">
        <f>B4*(1+C4)</f>
        <v>396.00000000000006</v>
      </c>
      <c r="E4" s="4">
        <f>D4-B4</f>
        <v>36.000000000000057</v>
      </c>
      <c r="F4" s="3">
        <f>E4*Inputs!B8</f>
        <v>7200.0000000000109</v>
      </c>
      <c r="G4" s="3">
        <f>E4*Inputs!B7*Inputs!B9</f>
        <v>2592.0000000000041</v>
      </c>
      <c r="H4" s="3">
        <f>F4+G4</f>
        <v>9792.0000000000146</v>
      </c>
      <c r="I4" s="3">
        <f>H4*12</f>
        <v>117504.00000000017</v>
      </c>
      <c r="K4" t="s">
        <v>68</v>
      </c>
    </row>
    <row r="5" spans="1:11" x14ac:dyDescent="0.35">
      <c r="A5" t="s">
        <v>45</v>
      </c>
      <c r="B5" s="4">
        <f>'Funnel Model'!C6</f>
        <v>360</v>
      </c>
      <c r="C5" s="1">
        <v>0.15</v>
      </c>
      <c r="D5">
        <f>B5*(1+C5)</f>
        <v>413.99999999999994</v>
      </c>
      <c r="E5" s="4">
        <f>D5-B5</f>
        <v>53.999999999999943</v>
      </c>
      <c r="F5" s="3">
        <f>E5*Inputs!B8</f>
        <v>10799.999999999989</v>
      </c>
      <c r="G5" s="3">
        <f>E5*Inputs!B7*Inputs!B9</f>
        <v>3887.9999999999955</v>
      </c>
      <c r="H5" s="3">
        <f>F5+G5</f>
        <v>14687.999999999985</v>
      </c>
      <c r="I5" s="3">
        <f>H5*12</f>
        <v>176255.99999999983</v>
      </c>
      <c r="K5" t="s">
        <v>69</v>
      </c>
    </row>
    <row r="6" spans="1:11" x14ac:dyDescent="0.35">
      <c r="K6" t="s">
        <v>70</v>
      </c>
    </row>
    <row r="7" spans="1:11" x14ac:dyDescent="0.35">
      <c r="K7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E0105-09AA-44D2-AE1D-F2CC87C69FA8}">
  <dimension ref="A1:B10"/>
  <sheetViews>
    <sheetView workbookViewId="0">
      <selection activeCell="B12" sqref="B12"/>
    </sheetView>
  </sheetViews>
  <sheetFormatPr defaultRowHeight="14.5" x14ac:dyDescent="0.35"/>
  <cols>
    <col min="1" max="1" width="23.7265625" bestFit="1" customWidth="1"/>
    <col min="2" max="2" width="134.90625" bestFit="1" customWidth="1"/>
  </cols>
  <sheetData>
    <row r="1" spans="1:2" s="5" customFormat="1" x14ac:dyDescent="0.35">
      <c r="A1" s="5" t="s">
        <v>46</v>
      </c>
      <c r="B1" s="5" t="s">
        <v>2</v>
      </c>
    </row>
    <row r="2" spans="1:2" x14ac:dyDescent="0.35">
      <c r="A2" t="s">
        <v>47</v>
      </c>
      <c r="B2" t="s">
        <v>48</v>
      </c>
    </row>
    <row r="3" spans="1:2" x14ac:dyDescent="0.35">
      <c r="A3" t="s">
        <v>49</v>
      </c>
      <c r="B3" t="s">
        <v>50</v>
      </c>
    </row>
    <row r="4" spans="1:2" x14ac:dyDescent="0.35">
      <c r="A4" t="s">
        <v>51</v>
      </c>
      <c r="B4" t="s">
        <v>54</v>
      </c>
    </row>
    <row r="5" spans="1:2" x14ac:dyDescent="0.35">
      <c r="A5" t="s">
        <v>52</v>
      </c>
      <c r="B5" t="s">
        <v>55</v>
      </c>
    </row>
    <row r="6" spans="1:2" x14ac:dyDescent="0.35">
      <c r="A6" t="s">
        <v>53</v>
      </c>
      <c r="B6" t="s">
        <v>56</v>
      </c>
    </row>
    <row r="7" spans="1:2" x14ac:dyDescent="0.35">
      <c r="A7" t="s">
        <v>57</v>
      </c>
      <c r="B7" t="s">
        <v>58</v>
      </c>
    </row>
    <row r="8" spans="1:2" x14ac:dyDescent="0.35">
      <c r="A8" t="s">
        <v>59</v>
      </c>
      <c r="B8" t="s">
        <v>60</v>
      </c>
    </row>
    <row r="9" spans="1:2" x14ac:dyDescent="0.35">
      <c r="A9" t="s">
        <v>61</v>
      </c>
      <c r="B9" t="s">
        <v>62</v>
      </c>
    </row>
    <row r="10" spans="1:2" x14ac:dyDescent="0.35">
      <c r="A10" t="s">
        <v>63</v>
      </c>
      <c r="B10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Funnel Model</vt:lpstr>
      <vt:lpstr>Scenario Output</vt:lpstr>
      <vt:lpstr>Assumptions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Sheth</dc:creator>
  <cp:lastModifiedBy>Omkar Sheth</cp:lastModifiedBy>
  <dcterms:created xsi:type="dcterms:W3CDTF">2026-06-23T21:44:02Z</dcterms:created>
  <dcterms:modified xsi:type="dcterms:W3CDTF">2026-06-24T01:56:20Z</dcterms:modified>
</cp:coreProperties>
</file>